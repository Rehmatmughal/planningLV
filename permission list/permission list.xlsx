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Laravel Video Toturial\Laravel projects\project-table\final table project working\auth-role-demo Planning project\permission list\"/>
    </mc:Choice>
  </mc:AlternateContent>
  <xr:revisionPtr revIDLastSave="0" documentId="13_ncr:1_{E2FF0CBC-CDFC-4148-ABE3-DF659BB9F5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G51" i="1"/>
  <c r="G52" i="1"/>
  <c r="G53" i="1"/>
  <c r="G54" i="1"/>
  <c r="G5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3" i="1"/>
  <c r="G2" i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2" i="1"/>
  <c r="K1" i="1"/>
  <c r="I1" i="1"/>
  <c r="F55" i="1" l="1"/>
  <c r="H55" i="1" s="1"/>
  <c r="E55" i="1" s="1"/>
  <c r="F53" i="1"/>
  <c r="H53" i="1" s="1"/>
  <c r="E53" i="1" s="1"/>
  <c r="F51" i="1"/>
  <c r="H51" i="1" s="1"/>
  <c r="E51" i="1" s="1"/>
  <c r="F50" i="1"/>
  <c r="H50" i="1" s="1"/>
  <c r="E50" i="1" s="1"/>
  <c r="F54" i="1"/>
  <c r="H54" i="1" s="1"/>
  <c r="E54" i="1" s="1"/>
  <c r="F52" i="1"/>
  <c r="H52" i="1" s="1"/>
  <c r="E52" i="1" s="1"/>
  <c r="F43" i="1"/>
  <c r="H43" i="1" s="1"/>
  <c r="F20" i="1"/>
  <c r="H20" i="1" s="1"/>
  <c r="F21" i="1"/>
  <c r="H21" i="1" s="1"/>
  <c r="F49" i="1"/>
  <c r="H49" i="1" s="1"/>
  <c r="F35" i="1"/>
  <c r="H35" i="1" s="1"/>
  <c r="F41" i="1"/>
  <c r="H41" i="1" s="1"/>
  <c r="F27" i="1"/>
  <c r="H27" i="1" s="1"/>
  <c r="F19" i="1"/>
  <c r="H19" i="1" s="1"/>
  <c r="F28" i="1"/>
  <c r="H28" i="1" s="1"/>
  <c r="F40" i="1"/>
  <c r="H40" i="1" s="1"/>
  <c r="F33" i="1"/>
  <c r="H33" i="1" s="1"/>
  <c r="F39" i="1"/>
  <c r="H39" i="1" s="1"/>
  <c r="F32" i="1"/>
  <c r="H32" i="1" s="1"/>
  <c r="F25" i="1"/>
  <c r="H25" i="1" s="1"/>
  <c r="F17" i="1"/>
  <c r="H17" i="1" s="1"/>
  <c r="F47" i="1"/>
  <c r="H47" i="1" s="1"/>
  <c r="F45" i="1"/>
  <c r="H45" i="1" s="1"/>
  <c r="F24" i="1"/>
  <c r="H24" i="1" s="1"/>
  <c r="F44" i="1"/>
  <c r="H44" i="1" s="1"/>
  <c r="F37" i="1"/>
  <c r="H37" i="1" s="1"/>
  <c r="F23" i="1"/>
  <c r="H23" i="1" s="1"/>
  <c r="F22" i="1"/>
  <c r="H22" i="1" s="1"/>
  <c r="F31" i="1"/>
  <c r="H31" i="1" s="1"/>
  <c r="F36" i="1"/>
  <c r="H36" i="1" s="1"/>
  <c r="F29" i="1"/>
  <c r="H29" i="1" s="1"/>
  <c r="F15" i="1"/>
  <c r="H15" i="1" s="1"/>
  <c r="F14" i="1"/>
  <c r="H14" i="1" s="1"/>
  <c r="F48" i="1"/>
  <c r="H48" i="1" s="1"/>
  <c r="F16" i="1"/>
  <c r="H16" i="1" s="1"/>
  <c r="F42" i="1"/>
  <c r="H42" i="1" s="1"/>
  <c r="F18" i="1"/>
  <c r="H18" i="1" s="1"/>
  <c r="F34" i="1"/>
  <c r="H34" i="1" s="1"/>
  <c r="F26" i="1"/>
  <c r="H26" i="1" s="1"/>
  <c r="F46" i="1"/>
  <c r="H46" i="1" s="1"/>
  <c r="F38" i="1"/>
  <c r="H38" i="1" s="1"/>
  <c r="F30" i="1"/>
  <c r="H30" i="1" s="1"/>
  <c r="F6" i="1"/>
  <c r="F5" i="1"/>
  <c r="F12" i="1"/>
  <c r="F7" i="1"/>
  <c r="F8" i="1"/>
  <c r="F9" i="1"/>
  <c r="F10" i="1"/>
  <c r="F3" i="1"/>
  <c r="H3" i="1" s="1"/>
  <c r="F11" i="1"/>
  <c r="F4" i="1"/>
  <c r="E48" i="1" l="1"/>
  <c r="E44" i="1"/>
  <c r="E47" i="1"/>
  <c r="E49" i="1"/>
  <c r="E46" i="1"/>
  <c r="E45" i="1"/>
  <c r="E35" i="1"/>
  <c r="F2" i="1"/>
  <c r="H2" i="1" s="1"/>
  <c r="E2" i="1" s="1"/>
  <c r="F13" i="1"/>
  <c r="E3" i="1"/>
  <c r="E32" i="1"/>
  <c r="E19" i="1" l="1"/>
  <c r="E26" i="1"/>
  <c r="E29" i="1"/>
  <c r="E43" i="1"/>
  <c r="H9" i="1"/>
  <c r="E9" i="1" s="1"/>
  <c r="E42" i="1"/>
  <c r="H5" i="1"/>
  <c r="E5" i="1" s="1"/>
  <c r="H13" i="1"/>
  <c r="E13" i="1" s="1"/>
  <c r="E22" i="1"/>
  <c r="E40" i="1"/>
  <c r="E39" i="1"/>
  <c r="E37" i="1"/>
  <c r="E20" i="1"/>
  <c r="E14" i="1"/>
  <c r="H4" i="1"/>
  <c r="E4" i="1" s="1"/>
  <c r="E36" i="1"/>
  <c r="E30" i="1"/>
  <c r="H8" i="1"/>
  <c r="E8" i="1" s="1"/>
  <c r="E38" i="1"/>
  <c r="H10" i="1"/>
  <c r="E10" i="1" s="1"/>
  <c r="E31" i="1"/>
  <c r="E15" i="1"/>
  <c r="E25" i="1"/>
  <c r="E41" i="1"/>
  <c r="E18" i="1"/>
  <c r="E27" i="1"/>
  <c r="E34" i="1"/>
  <c r="E23" i="1"/>
  <c r="E21" i="1"/>
  <c r="H6" i="1"/>
  <c r="E6" i="1" s="1"/>
  <c r="E28" i="1"/>
  <c r="H7" i="1"/>
  <c r="E7" i="1" s="1"/>
  <c r="H11" i="1"/>
  <c r="E11" i="1" s="1"/>
  <c r="H12" i="1"/>
  <c r="E12" i="1" s="1"/>
  <c r="E33" i="1"/>
  <c r="E24" i="1"/>
  <c r="E16" i="1"/>
  <c r="E17" i="1"/>
</calcChain>
</file>

<file path=xl/sharedStrings.xml><?xml version="1.0" encoding="utf-8"?>
<sst xmlns="http://schemas.openxmlformats.org/spreadsheetml/2006/main" count="100" uniqueCount="58">
  <si>
    <t>project.update</t>
  </si>
  <si>
    <t>project.delete</t>
  </si>
  <si>
    <t>project.destroy</t>
  </si>
  <si>
    <t>project.edit</t>
  </si>
  <si>
    <t>project.view</t>
  </si>
  <si>
    <t>user.create</t>
  </si>
  <si>
    <t>street.create</t>
  </si>
  <si>
    <t>block.view</t>
  </si>
  <si>
    <t>street.view</t>
  </si>
  <si>
    <t>size.view</t>
  </si>
  <si>
    <t>plot.view</t>
  </si>
  <si>
    <t>category.view</t>
  </si>
  <si>
    <t>plot.create</t>
  </si>
  <si>
    <t>areavariation.view</t>
  </si>
  <si>
    <t>activity.view</t>
  </si>
  <si>
    <t>block.create</t>
  </si>
  <si>
    <t>block.excel</t>
  </si>
  <si>
    <t>Used</t>
  </si>
  <si>
    <t>view</t>
  </si>
  <si>
    <t>create</t>
  </si>
  <si>
    <t>edit</t>
  </si>
  <si>
    <t>update</t>
  </si>
  <si>
    <t>delete</t>
  </si>
  <si>
    <t>project</t>
  </si>
  <si>
    <t>street</t>
  </si>
  <si>
    <t>size</t>
  </si>
  <si>
    <t>category</t>
  </si>
  <si>
    <t>plot</t>
  </si>
  <si>
    <t>excel</t>
  </si>
  <si>
    <t>block</t>
  </si>
  <si>
    <t>project.create</t>
  </si>
  <si>
    <t>project.excel</t>
  </si>
  <si>
    <t>block.edit</t>
  </si>
  <si>
    <t>block.update</t>
  </si>
  <si>
    <t>block.delete</t>
  </si>
  <si>
    <t>street.edit</t>
  </si>
  <si>
    <t>street.update</t>
  </si>
  <si>
    <t>street.delete</t>
  </si>
  <si>
    <t>street.excel</t>
  </si>
  <si>
    <t>plot.edit</t>
  </si>
  <si>
    <t>plot.update</t>
  </si>
  <si>
    <t>plot.delete</t>
  </si>
  <si>
    <t>plot.excel</t>
  </si>
  <si>
    <t>size.create</t>
  </si>
  <si>
    <t>size.edit</t>
  </si>
  <si>
    <t>size.update</t>
  </si>
  <si>
    <t>size.delete</t>
  </si>
  <si>
    <t>size.excel</t>
  </si>
  <si>
    <t>category.create</t>
  </si>
  <si>
    <t>category.edit</t>
  </si>
  <si>
    <t>category.update</t>
  </si>
  <si>
    <t>category.delete</t>
  </si>
  <si>
    <t>category.excel</t>
  </si>
  <si>
    <t>user</t>
  </si>
  <si>
    <t>used</t>
  </si>
  <si>
    <t>areavariation.create</t>
  </si>
  <si>
    <t>LOP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</si>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</sst>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topLeftCell="A18" workbookViewId="0">
      <selection activeCell="B22" sqref="B22"/>
    </sheetView>
  </sheetViews>
  <sheetFormatPr defaultRowHeight="14.5" x14ac:dyDescent="0.35"/>
  <cols>
    <col min="1" max="1" width="8.08984375" style="1" customWidth="1"/>
    <col min="2" max="2" width="23.54296875" style="2" customWidth="1"/>
    <col min="5" max="5" width="14.453125" bestFit="1" customWidth="1"/>
  </cols>
  <sheetData>
    <row r="1" spans="1:12" x14ac:dyDescent="0.35">
      <c r="A1" s="1">
        <v>1</v>
      </c>
      <c r="B1" s="2" t="s">
        <v>4</v>
      </c>
      <c r="C1" t="s">
        <v>17</v>
      </c>
      <c r="I1">
        <f>MAX(I2:I11)</f>
        <v>9</v>
      </c>
      <c r="K1">
        <f>MAX(K2:K11)</f>
        <v>6</v>
      </c>
    </row>
    <row r="2" spans="1:12" x14ac:dyDescent="0.35">
      <c r="A2" s="1">
        <f>A1+1</f>
        <v>2</v>
      </c>
      <c r="B2" s="2" t="s">
        <v>0</v>
      </c>
      <c r="C2" t="s">
        <v>17</v>
      </c>
      <c r="E2" t="str">
        <f>G2&amp;"."&amp;H2</f>
        <v>project.view</v>
      </c>
      <c r="F2">
        <f>IF(COUNTIF($G$2:G2,G2)&gt;$I$1,1,COUNTIF($G$2:G2,G2))</f>
        <v>1</v>
      </c>
      <c r="G2" t="str">
        <f>VLOOKUP(ROUNDUP(ROWS($D$2:D2)/$K$1,0),$I$2:$J$10,2,FALSE)</f>
        <v>project</v>
      </c>
      <c r="H2" t="str">
        <f t="shared" ref="H2:H57" si="0">VLOOKUP($F2,$K$2:$L$7,2)</f>
        <v>view</v>
      </c>
      <c r="I2">
        <v>1</v>
      </c>
      <c r="J2" t="s">
        <v>23</v>
      </c>
      <c r="K2">
        <v>1</v>
      </c>
      <c r="L2" t="s">
        <v>18</v>
      </c>
    </row>
    <row r="3" spans="1:12" x14ac:dyDescent="0.35">
      <c r="A3" s="1">
        <f t="shared" ref="A3:A18" si="1">A2+1</f>
        <v>3</v>
      </c>
      <c r="B3" s="2" t="s">
        <v>2</v>
      </c>
      <c r="E3" t="str">
        <f t="shared" ref="E3:E37" si="2">G3&amp;"."&amp;H3</f>
        <v>project.create</v>
      </c>
      <c r="F3">
        <f>IF(COUNTIF($G$2:G3,G3)&gt;$K$1,1,COUNTIF($G$2:G3,G3))</f>
        <v>2</v>
      </c>
      <c r="G3" t="str">
        <f>VLOOKUP(ROUNDUP(ROWS($D$2:D3)/$K$1,0),$I$2:$J$10,2,FALSE)</f>
        <v>project</v>
      </c>
      <c r="H3" t="str">
        <f t="shared" si="0"/>
        <v>create</v>
      </c>
      <c r="I3">
        <v>2</v>
      </c>
      <c r="J3" t="s">
        <v>29</v>
      </c>
      <c r="K3">
        <v>2</v>
      </c>
      <c r="L3" t="s">
        <v>19</v>
      </c>
    </row>
    <row r="4" spans="1:12" x14ac:dyDescent="0.35">
      <c r="A4" s="1">
        <f t="shared" si="1"/>
        <v>4</v>
      </c>
      <c r="B4" s="2" t="s">
        <v>3</v>
      </c>
      <c r="C4" t="s">
        <v>17</v>
      </c>
      <c r="E4" t="str">
        <f t="shared" si="2"/>
        <v>project.edit</v>
      </c>
      <c r="F4">
        <f>IF(COUNTIF($G$2:G4,G4)&gt;$K$1,1,COUNTIF($G$2:G4,G4))</f>
        <v>3</v>
      </c>
      <c r="G4" t="str">
        <f>VLOOKUP(ROUNDUP(ROWS($D$2:D4)/$K$1,0),$I$2:$J$10,2,FALSE)</f>
        <v>project</v>
      </c>
      <c r="H4" t="str">
        <f t="shared" si="0"/>
        <v>edit</v>
      </c>
      <c r="I4">
        <v>3</v>
      </c>
      <c r="J4" t="s">
        <v>24</v>
      </c>
      <c r="K4">
        <v>3</v>
      </c>
      <c r="L4" t="s">
        <v>20</v>
      </c>
    </row>
    <row r="5" spans="1:12" x14ac:dyDescent="0.35">
      <c r="A5" s="1">
        <f t="shared" si="1"/>
        <v>5</v>
      </c>
      <c r="B5" s="2" t="s">
        <v>5</v>
      </c>
      <c r="C5" t="s">
        <v>17</v>
      </c>
      <c r="E5" t="str">
        <f t="shared" si="2"/>
        <v>project.update</v>
      </c>
      <c r="F5">
        <f>IF(COUNTIF($G$2:G5,G5)&gt;$K$1,1,COUNTIF($G$2:G5,G5))</f>
        <v>4</v>
      </c>
      <c r="G5" t="str">
        <f>VLOOKUP(ROUNDUP(ROWS($D$2:D5)/$K$1,0),$I$2:$J$10,2,FALSE)</f>
        <v>project</v>
      </c>
      <c r="H5" t="str">
        <f t="shared" si="0"/>
        <v>update</v>
      </c>
      <c r="I5">
        <v>4</v>
      </c>
      <c r="J5" t="s">
        <v>27</v>
      </c>
      <c r="K5">
        <v>4</v>
      </c>
      <c r="L5" t="s">
        <v>21</v>
      </c>
    </row>
    <row r="6" spans="1:12" x14ac:dyDescent="0.35">
      <c r="A6" s="1">
        <f t="shared" si="1"/>
        <v>6</v>
      </c>
      <c r="B6" s="2" t="s">
        <v>6</v>
      </c>
      <c r="C6" t="s">
        <v>17</v>
      </c>
      <c r="E6" t="str">
        <f t="shared" si="2"/>
        <v>project.delete</v>
      </c>
      <c r="F6">
        <f>IF(COUNTIF($G$2:G6,G6)&gt;$K$1,1,COUNTIF($G$2:G6,G6))</f>
        <v>5</v>
      </c>
      <c r="G6" t="str">
        <f>VLOOKUP(ROUNDUP(ROWS($D$2:D6)/$K$1,0),$I$2:$J$10,2,FALSE)</f>
        <v>project</v>
      </c>
      <c r="H6" t="str">
        <f t="shared" si="0"/>
        <v>delete</v>
      </c>
      <c r="I6">
        <v>5</v>
      </c>
      <c r="J6" t="s">
        <v>25</v>
      </c>
      <c r="K6">
        <v>5</v>
      </c>
      <c r="L6" t="s">
        <v>22</v>
      </c>
    </row>
    <row r="7" spans="1:12" x14ac:dyDescent="0.35">
      <c r="A7" s="1">
        <f t="shared" si="1"/>
        <v>7</v>
      </c>
      <c r="B7" s="2" t="s">
        <v>7</v>
      </c>
      <c r="C7" t="s">
        <v>17</v>
      </c>
      <c r="E7" t="str">
        <f t="shared" si="2"/>
        <v>project.excel</v>
      </c>
      <c r="F7">
        <f>IF(COUNTIF($G$2:G7,G7)&gt;$K$1,1,COUNTIF($G$2:G7,G7))</f>
        <v>6</v>
      </c>
      <c r="G7" t="str">
        <f>VLOOKUP(ROUNDUP(ROWS($D$2:D7)/$K$1,0),$I$2:$J$10,2,FALSE)</f>
        <v>project</v>
      </c>
      <c r="H7" t="str">
        <f t="shared" si="0"/>
        <v>excel</v>
      </c>
      <c r="I7">
        <v>6</v>
      </c>
      <c r="J7" t="s">
        <v>26</v>
      </c>
      <c r="K7">
        <v>6</v>
      </c>
      <c r="L7" t="s">
        <v>28</v>
      </c>
    </row>
    <row r="8" spans="1:12" x14ac:dyDescent="0.35">
      <c r="A8" s="1">
        <f t="shared" si="1"/>
        <v>8</v>
      </c>
      <c r="B8" s="2" t="s">
        <v>8</v>
      </c>
      <c r="C8" t="s">
        <v>17</v>
      </c>
      <c r="E8" t="str">
        <f t="shared" si="2"/>
        <v>block.view</v>
      </c>
      <c r="F8">
        <f>IF(COUNTIF($G$2:G8,G8)&gt;$K$1,1,COUNTIF($G$2:G8,G8))</f>
        <v>1</v>
      </c>
      <c r="G8" t="str">
        <f>VLOOKUP(ROUNDUP(ROWS($D$2:D8)/$K$1,0),$I$2:$J$10,2,FALSE)</f>
        <v>block</v>
      </c>
      <c r="H8" t="str">
        <f t="shared" si="0"/>
        <v>view</v>
      </c>
      <c r="I8">
        <v>7</v>
      </c>
      <c r="J8" t="s">
        <v>53</v>
      </c>
    </row>
    <row r="9" spans="1:12" x14ac:dyDescent="0.35">
      <c r="A9" s="1">
        <f t="shared" si="1"/>
        <v>9</v>
      </c>
      <c r="B9" s="2" t="s">
        <v>9</v>
      </c>
      <c r="C9" t="s">
        <v>17</v>
      </c>
      <c r="E9" t="str">
        <f t="shared" si="2"/>
        <v>block.create</v>
      </c>
      <c r="F9">
        <f>IF(COUNTIF($G$2:G9,G9)&gt;$K$1,1,COUNTIF($G$2:G9,G9))</f>
        <v>2</v>
      </c>
      <c r="G9" t="str">
        <f>VLOOKUP(ROUNDUP(ROWS($D$2:D9)/$K$1,0),$I$2:$J$10,2,FALSE)</f>
        <v>block</v>
      </c>
      <c r="H9" t="str">
        <f t="shared" si="0"/>
        <v>create</v>
      </c>
      <c r="I9">
        <v>8</v>
      </c>
      <c r="J9" t="s">
        <v>56</v>
      </c>
    </row>
    <row r="10" spans="1:12" x14ac:dyDescent="0.35">
      <c r="A10" s="1">
        <f t="shared" si="1"/>
        <v>10</v>
      </c>
      <c r="B10" s="2" t="s">
        <v>10</v>
      </c>
      <c r="C10" t="s">
        <v>17</v>
      </c>
      <c r="E10" t="str">
        <f t="shared" si="2"/>
        <v>block.edit</v>
      </c>
      <c r="F10">
        <f>IF(COUNTIF($G$2:G10,G10)&gt;$K$1,1,COUNTIF($G$2:G10,G10))</f>
        <v>3</v>
      </c>
      <c r="G10" t="str">
        <f>VLOOKUP(ROUNDUP(ROWS($D$2:D10)/$K$1,0),$I$2:$J$10,2,FALSE)</f>
        <v>block</v>
      </c>
      <c r="H10" t="str">
        <f t="shared" si="0"/>
        <v>edit</v>
      </c>
      <c r="I10">
        <v>9</v>
      </c>
      <c r="J10" t="s">
        <v>57</v>
      </c>
    </row>
    <row r="11" spans="1:12" x14ac:dyDescent="0.35">
      <c r="A11" s="1">
        <f t="shared" si="1"/>
        <v>11</v>
      </c>
      <c r="B11" s="2" t="s">
        <v>11</v>
      </c>
      <c r="C11" t="s">
        <v>17</v>
      </c>
      <c r="E11" t="str">
        <f t="shared" si="2"/>
        <v>block.update</v>
      </c>
      <c r="F11">
        <f>IF(COUNTIF($G$2:G11,G11)&gt;$K$1,1,COUNTIF($G$2:G11,G11))</f>
        <v>4</v>
      </c>
      <c r="G11" t="str">
        <f>VLOOKUP(ROUNDUP(ROWS($D$2:D11)/$K$1,0),$I$2:$J$10,2,FALSE)</f>
        <v>block</v>
      </c>
      <c r="H11" t="str">
        <f t="shared" si="0"/>
        <v>update</v>
      </c>
    </row>
    <row r="12" spans="1:12" x14ac:dyDescent="0.35">
      <c r="A12" s="1">
        <f t="shared" si="1"/>
        <v>12</v>
      </c>
      <c r="B12" s="2" t="s">
        <v>12</v>
      </c>
      <c r="C12" t="s">
        <v>17</v>
      </c>
      <c r="E12" t="str">
        <f t="shared" si="2"/>
        <v>block.delete</v>
      </c>
      <c r="F12">
        <f>IF(COUNTIF($G$2:G12,G12)&gt;$K$1,1,COUNTIF($G$2:G12,G12))</f>
        <v>5</v>
      </c>
      <c r="G12" t="str">
        <f>VLOOKUP(ROUNDUP(ROWS($D$2:D12)/$K$1,0),$I$2:$J$10,2,FALSE)</f>
        <v>block</v>
      </c>
      <c r="H12" t="str">
        <f t="shared" si="0"/>
        <v>delete</v>
      </c>
    </row>
    <row r="13" spans="1:12" x14ac:dyDescent="0.35">
      <c r="A13" s="1">
        <f t="shared" si="1"/>
        <v>13</v>
      </c>
      <c r="B13" s="2" t="s">
        <v>13</v>
      </c>
      <c r="C13" t="s">
        <v>17</v>
      </c>
      <c r="E13" t="str">
        <f t="shared" si="2"/>
        <v>block.excel</v>
      </c>
      <c r="F13">
        <f>IF(COUNTIF($G$2:G13,G13)&gt;$I$1,1,COUNTIF($G$2:G13,G13))</f>
        <v>6</v>
      </c>
      <c r="G13" t="str">
        <f>VLOOKUP(ROUNDUP(ROWS($D$2:D13)/$K$1,0),$I$2:$J$10,2,FALSE)</f>
        <v>block</v>
      </c>
      <c r="H13" t="str">
        <f t="shared" si="0"/>
        <v>excel</v>
      </c>
    </row>
    <row r="14" spans="1:12" x14ac:dyDescent="0.35">
      <c r="A14" s="1">
        <f t="shared" si="1"/>
        <v>14</v>
      </c>
      <c r="B14" s="2" t="s">
        <v>14</v>
      </c>
      <c r="C14" t="s">
        <v>17</v>
      </c>
      <c r="E14" t="str">
        <f t="shared" si="2"/>
        <v>street.view</v>
      </c>
      <c r="F14">
        <f>IF(COUNTIF($G$2:G14,G14)&gt;$I$1,1,COUNTIF($G$2:G14,G14))</f>
        <v>1</v>
      </c>
      <c r="G14" t="str">
        <f>VLOOKUP(ROUNDUP(ROWS($D$2:D14)/$K$1,0),$I$2:$J$10,2,FALSE)</f>
        <v>street</v>
      </c>
      <c r="H14" t="str">
        <f t="shared" si="0"/>
        <v>view</v>
      </c>
    </row>
    <row r="15" spans="1:12" x14ac:dyDescent="0.35">
      <c r="A15" s="1">
        <f t="shared" si="1"/>
        <v>15</v>
      </c>
      <c r="B15" s="2" t="s">
        <v>16</v>
      </c>
      <c r="C15" t="s">
        <v>17</v>
      </c>
      <c r="E15" t="str">
        <f t="shared" si="2"/>
        <v>street.create</v>
      </c>
      <c r="F15">
        <f>IF(COUNTIF($G$2:G15,G15)&gt;$I$1,1,COUNTIF($G$2:G15,G15))</f>
        <v>2</v>
      </c>
      <c r="G15" t="str">
        <f>VLOOKUP(ROUNDUP(ROWS($D$2:D15)/$K$1,0),$I$2:$J$10,2,FALSE)</f>
        <v>street</v>
      </c>
      <c r="H15" t="str">
        <f t="shared" si="0"/>
        <v>create</v>
      </c>
    </row>
    <row r="16" spans="1:12" x14ac:dyDescent="0.35">
      <c r="A16" s="1">
        <f t="shared" si="1"/>
        <v>16</v>
      </c>
      <c r="B16" s="2" t="s">
        <v>15</v>
      </c>
      <c r="C16" t="s">
        <v>17</v>
      </c>
      <c r="E16" t="str">
        <f t="shared" si="2"/>
        <v>street.edit</v>
      </c>
      <c r="F16">
        <f>IF(COUNTIF($G$2:G16,G16)&gt;$I$1,1,COUNTIF($G$2:G16,G16))</f>
        <v>3</v>
      </c>
      <c r="G16" t="str">
        <f>VLOOKUP(ROUNDUP(ROWS($D$2:D16)/$K$1,0),$I$2:$J$10,2,FALSE)</f>
        <v>street</v>
      </c>
      <c r="H16" t="str">
        <f t="shared" si="0"/>
        <v>edit</v>
      </c>
    </row>
    <row r="17" spans="1:8" x14ac:dyDescent="0.35">
      <c r="A17" s="1">
        <f t="shared" si="1"/>
        <v>17</v>
      </c>
      <c r="B17" s="2" t="s">
        <v>39</v>
      </c>
      <c r="C17" t="s">
        <v>17</v>
      </c>
      <c r="E17" t="str">
        <f t="shared" si="2"/>
        <v>street.update</v>
      </c>
      <c r="F17">
        <f>IF(COUNTIF($G$2:G17,G17)&gt;$I$1,1,COUNTIF($G$2:G17,G17))</f>
        <v>4</v>
      </c>
      <c r="G17" t="str">
        <f>VLOOKUP(ROUNDUP(ROWS($D$2:D17)/$K$1,0),$I$2:$J$10,2,FALSE)</f>
        <v>street</v>
      </c>
      <c r="H17" t="str">
        <f t="shared" si="0"/>
        <v>update</v>
      </c>
    </row>
    <row r="18" spans="1:8" x14ac:dyDescent="0.35">
      <c r="A18" s="1">
        <f t="shared" si="1"/>
        <v>18</v>
      </c>
      <c r="B18" s="2" t="s">
        <v>35</v>
      </c>
      <c r="C18" t="s">
        <v>17</v>
      </c>
      <c r="E18" t="str">
        <f t="shared" si="2"/>
        <v>street.delete</v>
      </c>
      <c r="F18">
        <f>IF(COUNTIF($G$2:G18,G18)&gt;$I$1,1,COUNTIF($G$2:G18,G18))</f>
        <v>5</v>
      </c>
      <c r="G18" t="str">
        <f>VLOOKUP(ROUNDUP(ROWS($D$2:D18)/$K$1,0),$I$2:$J$10,2,FALSE)</f>
        <v>street</v>
      </c>
      <c r="H18" t="str">
        <f t="shared" si="0"/>
        <v>delete</v>
      </c>
    </row>
    <row r="19" spans="1:8" x14ac:dyDescent="0.35">
      <c r="B19" s="2" t="s">
        <v>42</v>
      </c>
      <c r="C19" t="s">
        <v>54</v>
      </c>
      <c r="E19" t="str">
        <f t="shared" si="2"/>
        <v>street.excel</v>
      </c>
      <c r="F19">
        <f>IF(COUNTIF($G$2:G19,G19)&gt;$I$1,1,COUNTIF($G$2:G19,G19))</f>
        <v>6</v>
      </c>
      <c r="G19" t="str">
        <f>VLOOKUP(ROUNDUP(ROWS($D$2:D19)/$K$1,0),$I$2:$J$10,2,FALSE)</f>
        <v>street</v>
      </c>
      <c r="H19" t="str">
        <f t="shared" si="0"/>
        <v>excel</v>
      </c>
    </row>
    <row r="20" spans="1:8" x14ac:dyDescent="0.35">
      <c r="B20" s="2" t="s">
        <v>32</v>
      </c>
      <c r="C20" t="s">
        <v>17</v>
      </c>
      <c r="E20" t="str">
        <f t="shared" si="2"/>
        <v>plot.view</v>
      </c>
      <c r="F20">
        <f>IF(COUNTIF($G$2:G20,G20)&gt;$I$1,1,COUNTIF($G$2:G20,G20))</f>
        <v>1</v>
      </c>
      <c r="G20" t="str">
        <f>VLOOKUP(ROUNDUP(ROWS($D$2:D20)/$K$1,0),$I$2:$J$10,2,FALSE)</f>
        <v>plot</v>
      </c>
      <c r="H20" t="str">
        <f t="shared" si="0"/>
        <v>view</v>
      </c>
    </row>
    <row r="21" spans="1:8" x14ac:dyDescent="0.35">
      <c r="B21" s="2" t="s">
        <v>34</v>
      </c>
      <c r="C21" t="s">
        <v>17</v>
      </c>
      <c r="E21" t="str">
        <f t="shared" si="2"/>
        <v>plot.create</v>
      </c>
      <c r="F21">
        <f>IF(COUNTIF($G$2:G21,G21)&gt;$I$1,1,COUNTIF($G$2:G21,G21))</f>
        <v>2</v>
      </c>
      <c r="G21" t="str">
        <f>VLOOKUP(ROUNDUP(ROWS($D$2:D21)/$K$1,0),$I$2:$J$10,2,FALSE)</f>
        <v>plot</v>
      </c>
      <c r="H21" t="str">
        <f t="shared" si="0"/>
        <v>create</v>
      </c>
    </row>
    <row r="22" spans="1:8" x14ac:dyDescent="0.35">
      <c r="B22" s="2" t="s">
        <v>55</v>
      </c>
      <c r="C22" t="s">
        <v>17</v>
      </c>
      <c r="E22" t="str">
        <f t="shared" si="2"/>
        <v>plot.edit</v>
      </c>
      <c r="F22">
        <f>IF(COUNTIF($G$2:G22,G22)&gt;$I$1,1,COUNTIF($G$2:G22,G22))</f>
        <v>3</v>
      </c>
      <c r="G22" t="str">
        <f>VLOOKUP(ROUNDUP(ROWS($D$2:D22)/$K$1,0),$I$2:$J$10,2,FALSE)</f>
        <v>plot</v>
      </c>
      <c r="H22" t="str">
        <f t="shared" si="0"/>
        <v>edit</v>
      </c>
    </row>
    <row r="23" spans="1:8" x14ac:dyDescent="0.35">
      <c r="E23" t="str">
        <f t="shared" si="2"/>
        <v>plot.update</v>
      </c>
      <c r="F23">
        <f>IF(COUNTIF($G$2:G23,G23)&gt;$I$1,1,COUNTIF($G$2:G23,G23))</f>
        <v>4</v>
      </c>
      <c r="G23" t="str">
        <f>VLOOKUP(ROUNDUP(ROWS($D$2:D23)/$K$1,0),$I$2:$J$10,2,FALSE)</f>
        <v>plot</v>
      </c>
      <c r="H23" t="str">
        <f t="shared" si="0"/>
        <v>update</v>
      </c>
    </row>
    <row r="24" spans="1:8" x14ac:dyDescent="0.35">
      <c r="E24" t="str">
        <f t="shared" si="2"/>
        <v>plot.delete</v>
      </c>
      <c r="F24">
        <f>IF(COUNTIF($G$2:G24,G24)&gt;$I$1,1,COUNTIF($G$2:G24,G24))</f>
        <v>5</v>
      </c>
      <c r="G24" t="str">
        <f>VLOOKUP(ROUNDUP(ROWS($D$2:D24)/$K$1,0),$I$2:$J$10,2,FALSE)</f>
        <v>plot</v>
      </c>
      <c r="H24" t="str">
        <f t="shared" si="0"/>
        <v>delete</v>
      </c>
    </row>
    <row r="25" spans="1:8" x14ac:dyDescent="0.35">
      <c r="E25" t="str">
        <f t="shared" si="2"/>
        <v>plot.excel</v>
      </c>
      <c r="F25">
        <f>IF(COUNTIF($G$2:G25,G25)&gt;$I$1,1,COUNTIF($G$2:G25,G25))</f>
        <v>6</v>
      </c>
      <c r="G25" t="str">
        <f>VLOOKUP(ROUNDUP(ROWS($D$2:D25)/$K$1,0),$I$2:$J$10,2,FALSE)</f>
        <v>plot</v>
      </c>
      <c r="H25" t="str">
        <f t="shared" si="0"/>
        <v>excel</v>
      </c>
    </row>
    <row r="26" spans="1:8" x14ac:dyDescent="0.35">
      <c r="E26" t="str">
        <f t="shared" si="2"/>
        <v>size.view</v>
      </c>
      <c r="F26">
        <f>IF(COUNTIF($G$2:G26,G26)&gt;$I$1,1,COUNTIF($G$2:G26,G26))</f>
        <v>1</v>
      </c>
      <c r="G26" t="str">
        <f>VLOOKUP(ROUNDUP(ROWS($D$2:D26)/$K$1,0),$I$2:$J$10,2,FALSE)</f>
        <v>size</v>
      </c>
      <c r="H26" t="str">
        <f t="shared" si="0"/>
        <v>view</v>
      </c>
    </row>
    <row r="27" spans="1:8" x14ac:dyDescent="0.35">
      <c r="E27" t="str">
        <f t="shared" si="2"/>
        <v>size.create</v>
      </c>
      <c r="F27">
        <f>IF(COUNTIF($G$2:G27,G27)&gt;$I$1,1,COUNTIF($G$2:G27,G27))</f>
        <v>2</v>
      </c>
      <c r="G27" t="str">
        <f>VLOOKUP(ROUNDUP(ROWS($D$2:D27)/$K$1,0),$I$2:$J$10,2,FALSE)</f>
        <v>size</v>
      </c>
      <c r="H27" t="str">
        <f t="shared" si="0"/>
        <v>create</v>
      </c>
    </row>
    <row r="28" spans="1:8" x14ac:dyDescent="0.35">
      <c r="E28" t="str">
        <f t="shared" si="2"/>
        <v>size.edit</v>
      </c>
      <c r="F28">
        <f>IF(COUNTIF($G$2:G28,G28)&gt;$I$1,1,COUNTIF($G$2:G28,G28))</f>
        <v>3</v>
      </c>
      <c r="G28" t="str">
        <f>VLOOKUP(ROUNDUP(ROWS($D$2:D28)/$K$1,0),$I$2:$J$10,2,FALSE)</f>
        <v>size</v>
      </c>
      <c r="H28" t="str">
        <f t="shared" si="0"/>
        <v>edit</v>
      </c>
    </row>
    <row r="29" spans="1:8" x14ac:dyDescent="0.35">
      <c r="E29" t="str">
        <f t="shared" si="2"/>
        <v>size.update</v>
      </c>
      <c r="F29">
        <f>IF(COUNTIF($G$2:G29,G29)&gt;$I$1,1,COUNTIF($G$2:G29,G29))</f>
        <v>4</v>
      </c>
      <c r="G29" t="str">
        <f>VLOOKUP(ROUNDUP(ROWS($D$2:D29)/$K$1,0),$I$2:$J$10,2,FALSE)</f>
        <v>size</v>
      </c>
      <c r="H29" t="str">
        <f t="shared" si="0"/>
        <v>update</v>
      </c>
    </row>
    <row r="30" spans="1:8" x14ac:dyDescent="0.35">
      <c r="E30" t="str">
        <f t="shared" si="2"/>
        <v>size.delete</v>
      </c>
      <c r="F30">
        <f>IF(COUNTIF($G$2:G30,G30)&gt;$I$1,1,COUNTIF($G$2:G30,G30))</f>
        <v>5</v>
      </c>
      <c r="G30" t="str">
        <f>VLOOKUP(ROUNDUP(ROWS($D$2:D30)/$K$1,0),$I$2:$J$10,2,FALSE)</f>
        <v>size</v>
      </c>
      <c r="H30" t="str">
        <f t="shared" si="0"/>
        <v>delete</v>
      </c>
    </row>
    <row r="31" spans="1:8" x14ac:dyDescent="0.35">
      <c r="E31" t="str">
        <f t="shared" si="2"/>
        <v>size.excel</v>
      </c>
      <c r="F31">
        <f>IF(COUNTIF($G$2:G31,G31)&gt;$I$1,1,COUNTIF($G$2:G31,G31))</f>
        <v>6</v>
      </c>
      <c r="G31" t="str">
        <f>VLOOKUP(ROUNDUP(ROWS($D$2:D31)/$K$1,0),$I$2:$J$10,2,FALSE)</f>
        <v>size</v>
      </c>
      <c r="H31" t="str">
        <f t="shared" si="0"/>
        <v>excel</v>
      </c>
    </row>
    <row r="32" spans="1:8" x14ac:dyDescent="0.35">
      <c r="E32" t="str">
        <f t="shared" si="2"/>
        <v>category.view</v>
      </c>
      <c r="F32">
        <f>IF(COUNTIF($G$2:G32,G32)&gt;$I$1,1,COUNTIF($G$2:G32,G32))</f>
        <v>1</v>
      </c>
      <c r="G32" t="str">
        <f>VLOOKUP(ROUNDUP(ROWS($D$2:D32)/$K$1,0),$I$2:$J$10,2,FALSE)</f>
        <v>category</v>
      </c>
      <c r="H32" t="str">
        <f t="shared" si="0"/>
        <v>view</v>
      </c>
    </row>
    <row r="33" spans="5:8" x14ac:dyDescent="0.35">
      <c r="E33" t="str">
        <f t="shared" si="2"/>
        <v>category.create</v>
      </c>
      <c r="F33">
        <f>IF(COUNTIF($G$2:G33,G33)&gt;$I$1,1,COUNTIF($G$2:G33,G33))</f>
        <v>2</v>
      </c>
      <c r="G33" t="str">
        <f>VLOOKUP(ROUNDUP(ROWS($D$2:D33)/$K$1,0),$I$2:$J$10,2,FALSE)</f>
        <v>category</v>
      </c>
      <c r="H33" t="str">
        <f t="shared" si="0"/>
        <v>create</v>
      </c>
    </row>
    <row r="34" spans="5:8" x14ac:dyDescent="0.35">
      <c r="E34" t="str">
        <f t="shared" si="2"/>
        <v>category.edit</v>
      </c>
      <c r="F34">
        <f>IF(COUNTIF($G$2:G34,G34)&gt;$I$1,1,COUNTIF($G$2:G34,G34))</f>
        <v>3</v>
      </c>
      <c r="G34" t="str">
        <f>VLOOKUP(ROUNDUP(ROWS($D$2:D34)/$K$1,0),$I$2:$J$10,2,FALSE)</f>
        <v>category</v>
      </c>
      <c r="H34" t="str">
        <f t="shared" si="0"/>
        <v>edit</v>
      </c>
    </row>
    <row r="35" spans="5:8" x14ac:dyDescent="0.35">
      <c r="E35" t="str">
        <f t="shared" si="2"/>
        <v>category.update</v>
      </c>
      <c r="F35">
        <f>IF(COUNTIF($G$2:G35,G35)&gt;$I$1,1,COUNTIF($G$2:G35,G35))</f>
        <v>4</v>
      </c>
      <c r="G35" t="str">
        <f>VLOOKUP(ROUNDUP(ROWS($D$2:D35)/$K$1,0),$I$2:$J$10,2,FALSE)</f>
        <v>category</v>
      </c>
      <c r="H35" t="str">
        <f t="shared" si="0"/>
        <v>update</v>
      </c>
    </row>
    <row r="36" spans="5:8" x14ac:dyDescent="0.35">
      <c r="E36" t="str">
        <f t="shared" si="2"/>
        <v>category.delete</v>
      </c>
      <c r="F36">
        <f>IF(COUNTIF($G$2:G36,G36)&gt;$I$1,1,COUNTIF($G$2:G36,G36))</f>
        <v>5</v>
      </c>
      <c r="G36" t="str">
        <f>VLOOKUP(ROUNDUP(ROWS($D$2:D36)/$K$1,0),$I$2:$J$10,2,FALSE)</f>
        <v>category</v>
      </c>
      <c r="H36" t="str">
        <f t="shared" si="0"/>
        <v>delete</v>
      </c>
    </row>
    <row r="37" spans="5:8" x14ac:dyDescent="0.35">
      <c r="E37" t="str">
        <f t="shared" si="2"/>
        <v>category.excel</v>
      </c>
      <c r="F37">
        <f>IF(COUNTIF($G$2:G37,G37)&gt;$I$1,1,COUNTIF($G$2:G37,G37))</f>
        <v>6</v>
      </c>
      <c r="G37" t="str">
        <f>VLOOKUP(ROUNDUP(ROWS($D$2:D37)/$K$1,0),$I$2:$J$10,2,FALSE)</f>
        <v>category</v>
      </c>
      <c r="H37" t="str">
        <f t="shared" si="0"/>
        <v>excel</v>
      </c>
    </row>
    <row r="38" spans="5:8" x14ac:dyDescent="0.35">
      <c r="E38" t="str">
        <f t="shared" ref="E38:E43" si="3">G38&amp;"."&amp;H38</f>
        <v>user.view</v>
      </c>
      <c r="F38">
        <f>IF(COUNTIF($G$2:G38,G38)&gt;$I$1,1,COUNTIF($G$2:G38,G38))</f>
        <v>1</v>
      </c>
      <c r="G38" t="str">
        <f>VLOOKUP(ROUNDUP(ROWS($D$2:D38)/$K$1,0),$I$2:$J$10,2,FALSE)</f>
        <v>user</v>
      </c>
      <c r="H38" t="str">
        <f t="shared" si="0"/>
        <v>view</v>
      </c>
    </row>
    <row r="39" spans="5:8" x14ac:dyDescent="0.35">
      <c r="E39" t="str">
        <f t="shared" si="3"/>
        <v>user.create</v>
      </c>
      <c r="F39">
        <f>IF(COUNTIF($G$2:G39,G39)&gt;$I$1,1,COUNTIF($G$2:G39,G39))</f>
        <v>2</v>
      </c>
      <c r="G39" t="str">
        <f>VLOOKUP(ROUNDUP(ROWS($D$2:D39)/$K$1,0),$I$2:$J$10,2,FALSE)</f>
        <v>user</v>
      </c>
      <c r="H39" t="str">
        <f t="shared" si="0"/>
        <v>create</v>
      </c>
    </row>
    <row r="40" spans="5:8" x14ac:dyDescent="0.35">
      <c r="E40" t="str">
        <f t="shared" si="3"/>
        <v>user.edit</v>
      </c>
      <c r="F40">
        <f>IF(COUNTIF($G$2:G40,G40)&gt;$I$1,1,COUNTIF($G$2:G40,G40))</f>
        <v>3</v>
      </c>
      <c r="G40" t="str">
        <f>VLOOKUP(ROUNDUP(ROWS($D$2:D40)/$K$1,0),$I$2:$J$10,2,FALSE)</f>
        <v>user</v>
      </c>
      <c r="H40" t="str">
        <f t="shared" si="0"/>
        <v>edit</v>
      </c>
    </row>
    <row r="41" spans="5:8" x14ac:dyDescent="0.35">
      <c r="E41" t="str">
        <f t="shared" si="3"/>
        <v>user.update</v>
      </c>
      <c r="F41">
        <f>IF(COUNTIF($G$2:G41,G41)&gt;$I$1,1,COUNTIF($G$2:G41,G41))</f>
        <v>4</v>
      </c>
      <c r="G41" t="str">
        <f>VLOOKUP(ROUNDUP(ROWS($D$2:D41)/$K$1,0),$I$2:$J$10,2,FALSE)</f>
        <v>user</v>
      </c>
      <c r="H41" t="str">
        <f t="shared" si="0"/>
        <v>update</v>
      </c>
    </row>
    <row r="42" spans="5:8" x14ac:dyDescent="0.35">
      <c r="E42" t="str">
        <f t="shared" si="3"/>
        <v>user.delete</v>
      </c>
      <c r="F42">
        <f>IF(COUNTIF($G$2:G42,G42)&gt;$I$1,1,COUNTIF($G$2:G42,G42))</f>
        <v>5</v>
      </c>
      <c r="G42" t="str">
        <f>VLOOKUP(ROUNDUP(ROWS($D$2:D42)/$K$1,0),$I$2:$J$10,2,FALSE)</f>
        <v>user</v>
      </c>
      <c r="H42" t="str">
        <f t="shared" si="0"/>
        <v>delete</v>
      </c>
    </row>
    <row r="43" spans="5:8" x14ac:dyDescent="0.35">
      <c r="E43" t="str">
        <f t="shared" si="3"/>
        <v>user.excel</v>
      </c>
      <c r="F43">
        <f>IF(COUNTIF($G$2:G43,G43)&gt;$I$1,1,COUNTIF($G$2:G43,G43))</f>
        <v>6</v>
      </c>
      <c r="G43" t="str">
        <f>VLOOKUP(ROUNDUP(ROWS($D$2:D43)/$K$1,0),$I$2:$J$10,2,FALSE)</f>
        <v>user</v>
      </c>
      <c r="H43" t="str">
        <f t="shared" si="0"/>
        <v>excel</v>
      </c>
    </row>
    <row r="44" spans="5:8" x14ac:dyDescent="0.35">
      <c r="E44" t="str">
        <f t="shared" ref="E44:E49" si="4">G44&amp;"."&amp;H44</f>
        <v>LOP.view</v>
      </c>
      <c r="F44">
        <f>IF(COUNTIF($G$2:G44,G44)&gt;$I$1,1,COUNTIF($G$2:G44,G44))</f>
        <v>1</v>
      </c>
      <c r="G44" t="str">
        <f>VLOOKUP(ROUNDUP(ROWS($D$2:D44)/$K$1,0),$I$2:$J$10,2,FALSE)</f>
        <v>LOP</v>
      </c>
      <c r="H44" t="str">
        <f t="shared" si="0"/>
        <v>view</v>
      </c>
    </row>
    <row r="45" spans="5:8" x14ac:dyDescent="0.35">
      <c r="E45" t="str">
        <f t="shared" si="4"/>
        <v>LOP.create</v>
      </c>
      <c r="F45">
        <f>IF(COUNTIF($G$2:G45,G45)&gt;$I$1,1,COUNTIF($G$2:G45,G45))</f>
        <v>2</v>
      </c>
      <c r="G45" t="str">
        <f>VLOOKUP(ROUNDUP(ROWS($D$2:D45)/$K$1,0),$I$2:$J$10,2,FALSE)</f>
        <v>LOP</v>
      </c>
      <c r="H45" t="str">
        <f t="shared" si="0"/>
        <v>create</v>
      </c>
    </row>
    <row r="46" spans="5:8" x14ac:dyDescent="0.35">
      <c r="E46" t="str">
        <f t="shared" si="4"/>
        <v>LOP.edit</v>
      </c>
      <c r="F46">
        <f>IF(COUNTIF($G$2:G46,G46)&gt;$I$1,1,COUNTIF($G$2:G46,G46))</f>
        <v>3</v>
      </c>
      <c r="G46" t="str">
        <f>VLOOKUP(ROUNDUP(ROWS($D$2:D46)/$K$1,0),$I$2:$J$10,2,FALSE)</f>
        <v>LOP</v>
      </c>
      <c r="H46" t="str">
        <f t="shared" si="0"/>
        <v>edit</v>
      </c>
    </row>
    <row r="47" spans="5:8" x14ac:dyDescent="0.35">
      <c r="E47" t="str">
        <f t="shared" si="4"/>
        <v>LOP.update</v>
      </c>
      <c r="F47">
        <f>IF(COUNTIF($G$2:G47,G47)&gt;$I$1,1,COUNTIF($G$2:G47,G47))</f>
        <v>4</v>
      </c>
      <c r="G47" t="str">
        <f>VLOOKUP(ROUNDUP(ROWS($D$2:D47)/$K$1,0),$I$2:$J$10,2,FALSE)</f>
        <v>LOP</v>
      </c>
      <c r="H47" t="str">
        <f t="shared" si="0"/>
        <v>update</v>
      </c>
    </row>
    <row r="48" spans="5:8" x14ac:dyDescent="0.35">
      <c r="E48" t="str">
        <f t="shared" si="4"/>
        <v>LOP.delete</v>
      </c>
      <c r="F48">
        <f>IF(COUNTIF($G$2:G48,G48)&gt;$I$1,1,COUNTIF($G$2:G48,G48))</f>
        <v>5</v>
      </c>
      <c r="G48" t="str">
        <f>VLOOKUP(ROUNDUP(ROWS($D$2:D48)/$K$1,0),$I$2:$J$10,2,FALSE)</f>
        <v>LOP</v>
      </c>
      <c r="H48" t="str">
        <f t="shared" si="0"/>
        <v>delete</v>
      </c>
    </row>
    <row r="49" spans="5:8" x14ac:dyDescent="0.35">
      <c r="E49" t="str">
        <f t="shared" si="4"/>
        <v>LOP.excel</v>
      </c>
      <c r="F49">
        <f>IF(COUNTIF($G$2:G49,G49)&gt;$I$1,1,COUNTIF($G$2:G49,G49))</f>
        <v>6</v>
      </c>
      <c r="G49" t="str">
        <f>VLOOKUP(ROUNDUP(ROWS($D$2:D49)/$K$1,0),$I$2:$J$10,2,FALSE)</f>
        <v>LOP</v>
      </c>
      <c r="H49" t="str">
        <f t="shared" si="0"/>
        <v>excel</v>
      </c>
    </row>
    <row r="50" spans="5:8" x14ac:dyDescent="0.35">
      <c r="E50" t="str">
        <f t="shared" ref="E50:E57" si="5">G50&amp;"."&amp;H50</f>
        <v>development.view</v>
      </c>
      <c r="F50">
        <f>IF(COUNTIF($G$2:G50,G50)&gt;$I$1,1,COUNTIF($G$2:G50,G50))</f>
        <v>1</v>
      </c>
      <c r="G50" t="str">
        <f>VLOOKUP(ROUNDUP(ROWS($D$2:D50)/$K$1,0),$I$2:$J$10,2,FALSE)</f>
        <v>development</v>
      </c>
      <c r="H50" t="str">
        <f t="shared" si="0"/>
        <v>view</v>
      </c>
    </row>
    <row r="51" spans="5:8" x14ac:dyDescent="0.35">
      <c r="E51" t="str">
        <f t="shared" si="5"/>
        <v>development.create</v>
      </c>
      <c r="F51">
        <f>IF(COUNTIF($G$2:G51,G51)&gt;$I$1,1,COUNTIF($G$2:G51,G51))</f>
        <v>2</v>
      </c>
      <c r="G51" t="str">
        <f>VLOOKUP(ROUNDUP(ROWS($D$2:D51)/$K$1,0),$I$2:$J$10,2,FALSE)</f>
        <v>development</v>
      </c>
      <c r="H51" t="str">
        <f t="shared" si="0"/>
        <v>create</v>
      </c>
    </row>
    <row r="52" spans="5:8" x14ac:dyDescent="0.35">
      <c r="E52" t="str">
        <f t="shared" si="5"/>
        <v>development.edit</v>
      </c>
      <c r="F52">
        <f>IF(COUNTIF($G$2:G52,G52)&gt;$I$1,1,COUNTIF($G$2:G52,G52))</f>
        <v>3</v>
      </c>
      <c r="G52" t="str">
        <f>VLOOKUP(ROUNDUP(ROWS($D$2:D52)/$K$1,0),$I$2:$J$10,2,FALSE)</f>
        <v>development</v>
      </c>
      <c r="H52" t="str">
        <f t="shared" si="0"/>
        <v>edit</v>
      </c>
    </row>
    <row r="53" spans="5:8" x14ac:dyDescent="0.35">
      <c r="E53" t="str">
        <f t="shared" si="5"/>
        <v>development.update</v>
      </c>
      <c r="F53">
        <f>IF(COUNTIF($G$2:G53,G53)&gt;$I$1,1,COUNTIF($G$2:G53,G53))</f>
        <v>4</v>
      </c>
      <c r="G53" t="str">
        <f>VLOOKUP(ROUNDUP(ROWS($D$2:D53)/$K$1,0),$I$2:$J$10,2,FALSE)</f>
        <v>development</v>
      </c>
      <c r="H53" t="str">
        <f t="shared" si="0"/>
        <v>update</v>
      </c>
    </row>
    <row r="54" spans="5:8" x14ac:dyDescent="0.35">
      <c r="E54" t="str">
        <f t="shared" si="5"/>
        <v>development.delete</v>
      </c>
      <c r="F54">
        <f>IF(COUNTIF($G$2:G54,G54)&gt;$I$1,1,COUNTIF($G$2:G54,G54))</f>
        <v>5</v>
      </c>
      <c r="G54" t="str">
        <f>VLOOKUP(ROUNDUP(ROWS($D$2:D54)/$K$1,0),$I$2:$J$10,2,FALSE)</f>
        <v>development</v>
      </c>
      <c r="H54" t="str">
        <f t="shared" si="0"/>
        <v>delete</v>
      </c>
    </row>
    <row r="55" spans="5:8" x14ac:dyDescent="0.35">
      <c r="E55" t="str">
        <f t="shared" si="5"/>
        <v>development.excel</v>
      </c>
      <c r="F55">
        <f>IF(COUNTIF($G$2:G55,G55)&gt;$I$1,1,COUNTIF($G$2:G55,G55))</f>
        <v>6</v>
      </c>
      <c r="G55" t="str">
        <f>VLOOKUP(ROUNDUP(ROWS($D$2:D55)/$K$1,0),$I$2:$J$10,2,FALSE)</f>
        <v>development</v>
      </c>
      <c r="H55" t="str">
        <f t="shared" si="0"/>
        <v>excel</v>
      </c>
    </row>
    <row r="138" spans="1:3" x14ac:dyDescent="0.35">
      <c r="A138" s="1">
        <v>1</v>
      </c>
      <c r="B138" s="2">
        <v>1</v>
      </c>
      <c r="C138" t="s">
        <v>4</v>
      </c>
    </row>
    <row r="139" spans="1:3" x14ac:dyDescent="0.35">
      <c r="C139" t="s">
        <v>30</v>
      </c>
    </row>
    <row r="140" spans="1:3" x14ac:dyDescent="0.35">
      <c r="C140" t="s">
        <v>3</v>
      </c>
    </row>
    <row r="141" spans="1:3" x14ac:dyDescent="0.35">
      <c r="C141" t="s">
        <v>0</v>
      </c>
    </row>
    <row r="142" spans="1:3" x14ac:dyDescent="0.35">
      <c r="C142" t="s">
        <v>1</v>
      </c>
    </row>
    <row r="143" spans="1:3" x14ac:dyDescent="0.35">
      <c r="C143" t="s">
        <v>31</v>
      </c>
    </row>
    <row r="144" spans="1:3" x14ac:dyDescent="0.35">
      <c r="C144" t="s">
        <v>31</v>
      </c>
    </row>
    <row r="145" spans="3:3" x14ac:dyDescent="0.35">
      <c r="C145" t="s">
        <v>7</v>
      </c>
    </row>
    <row r="146" spans="3:3" x14ac:dyDescent="0.35">
      <c r="C146" t="s">
        <v>15</v>
      </c>
    </row>
    <row r="147" spans="3:3" x14ac:dyDescent="0.35">
      <c r="C147" t="s">
        <v>32</v>
      </c>
    </row>
    <row r="148" spans="3:3" x14ac:dyDescent="0.35">
      <c r="C148" t="s">
        <v>33</v>
      </c>
    </row>
    <row r="149" spans="3:3" x14ac:dyDescent="0.35">
      <c r="C149" t="s">
        <v>34</v>
      </c>
    </row>
    <row r="150" spans="3:3" x14ac:dyDescent="0.35">
      <c r="C150" t="s">
        <v>16</v>
      </c>
    </row>
    <row r="151" spans="3:3" x14ac:dyDescent="0.35">
      <c r="C151" t="s">
        <v>16</v>
      </c>
    </row>
    <row r="152" spans="3:3" x14ac:dyDescent="0.35">
      <c r="C152" t="s">
        <v>8</v>
      </c>
    </row>
    <row r="153" spans="3:3" x14ac:dyDescent="0.35">
      <c r="C153" t="s">
        <v>6</v>
      </c>
    </row>
    <row r="154" spans="3:3" x14ac:dyDescent="0.35">
      <c r="C154" t="s">
        <v>35</v>
      </c>
    </row>
    <row r="155" spans="3:3" x14ac:dyDescent="0.35">
      <c r="C155" t="s">
        <v>36</v>
      </c>
    </row>
    <row r="156" spans="3:3" x14ac:dyDescent="0.35">
      <c r="C156" t="s">
        <v>37</v>
      </c>
    </row>
    <row r="157" spans="3:3" x14ac:dyDescent="0.35">
      <c r="C157" t="s">
        <v>38</v>
      </c>
    </row>
    <row r="158" spans="3:3" x14ac:dyDescent="0.35">
      <c r="C158" t="s">
        <v>38</v>
      </c>
    </row>
    <row r="159" spans="3:3" x14ac:dyDescent="0.35">
      <c r="C159" t="s">
        <v>10</v>
      </c>
    </row>
    <row r="160" spans="3:3" x14ac:dyDescent="0.35">
      <c r="C160" t="s">
        <v>12</v>
      </c>
    </row>
    <row r="161" spans="3:3" x14ac:dyDescent="0.35">
      <c r="C161" t="s">
        <v>39</v>
      </c>
    </row>
    <row r="162" spans="3:3" x14ac:dyDescent="0.35">
      <c r="C162" t="s">
        <v>40</v>
      </c>
    </row>
    <row r="163" spans="3:3" x14ac:dyDescent="0.35">
      <c r="C163" t="s">
        <v>41</v>
      </c>
    </row>
    <row r="164" spans="3:3" x14ac:dyDescent="0.35">
      <c r="C164" t="s">
        <v>42</v>
      </c>
    </row>
    <row r="165" spans="3:3" x14ac:dyDescent="0.35">
      <c r="C165" t="s">
        <v>42</v>
      </c>
    </row>
    <row r="166" spans="3:3" x14ac:dyDescent="0.35">
      <c r="C166" t="s">
        <v>9</v>
      </c>
    </row>
    <row r="167" spans="3:3" x14ac:dyDescent="0.35">
      <c r="C167" t="s">
        <v>43</v>
      </c>
    </row>
    <row r="168" spans="3:3" x14ac:dyDescent="0.35">
      <c r="C168" t="s">
        <v>44</v>
      </c>
    </row>
    <row r="169" spans="3:3" x14ac:dyDescent="0.35">
      <c r="C169" t="s">
        <v>45</v>
      </c>
    </row>
    <row r="170" spans="3:3" x14ac:dyDescent="0.35">
      <c r="C170" t="s">
        <v>46</v>
      </c>
    </row>
    <row r="171" spans="3:3" x14ac:dyDescent="0.35">
      <c r="C171" t="s">
        <v>47</v>
      </c>
    </row>
    <row r="172" spans="3:3" x14ac:dyDescent="0.35">
      <c r="C172" t="s">
        <v>47</v>
      </c>
    </row>
    <row r="173" spans="3:3" x14ac:dyDescent="0.35">
      <c r="C173" t="s">
        <v>11</v>
      </c>
    </row>
    <row r="174" spans="3:3" x14ac:dyDescent="0.35">
      <c r="C174" t="s">
        <v>48</v>
      </c>
    </row>
    <row r="175" spans="3:3" x14ac:dyDescent="0.35">
      <c r="C175" t="s">
        <v>49</v>
      </c>
    </row>
    <row r="176" spans="3:3" x14ac:dyDescent="0.35">
      <c r="C176" t="s">
        <v>50</v>
      </c>
    </row>
    <row r="177" spans="3:3" x14ac:dyDescent="0.35">
      <c r="C177" t="s">
        <v>51</v>
      </c>
    </row>
    <row r="178" spans="3:3" x14ac:dyDescent="0.35">
      <c r="C178" t="s">
        <v>52</v>
      </c>
    </row>
    <row r="179" spans="3:3" x14ac:dyDescent="0.35">
      <c r="C179" t="s">
        <v>52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2026-05-16T18:54:56Z</dcterms:modified>
</cp:coreProperties>
</file>